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率計算" sheetId="1" state="visible" r:id="rId1"/>
    <sheet name="參數總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8" customWidth="1" min="4" max="4"/>
    <col width="18" customWidth="1" min="5" max="5"/>
    <col width="11" customWidth="1" min="6" max="6"/>
    <col width="19" customWidth="1" min="7" max="7"/>
    <col width="19" customWidth="1" min="8" max="8"/>
    <col width="40" customWidth="1" min="9" max="9"/>
  </cols>
  <sheetData>
    <row r="1">
      <c r="A1" s="1" t="inlineStr">
        <is>
          <t>2×3 雙線拉霸機 — 機率計算</t>
        </is>
      </c>
    </row>
    <row r="2">
      <c r="A2" t="inlineStr">
        <is>
          <t>盤面 2 列 × 3 輪;每格獨立加權抽取;2 條水平 payline;單線 3-of-a-kind 賠 倍率×bet(bet 為整把注金)</t>
        </is>
      </c>
    </row>
    <row r="4">
      <c r="A4" s="2" t="inlineStr">
        <is>
          <t>Symbol</t>
        </is>
      </c>
      <c r="B4" s="2" t="inlineStr">
        <is>
          <t>Glyph</t>
        </is>
      </c>
      <c r="C4" s="2" t="inlineStr">
        <is>
          <t>權重 w</t>
        </is>
      </c>
      <c r="D4" s="2" t="inlineStr">
        <is>
          <t>單格機率 p = w/總權重</t>
        </is>
      </c>
      <c r="E4" s="2" t="inlineStr">
        <is>
          <t>單線 P(三同) = p³</t>
        </is>
      </c>
      <c r="F4" s="2" t="inlineStr">
        <is>
          <t>單線倍率 m</t>
        </is>
      </c>
      <c r="G4" s="2" t="inlineStr">
        <is>
          <t>單線 RTP 貢獻 = p³×m</t>
        </is>
      </c>
      <c r="H4" s="2" t="inlineStr">
        <is>
          <t>整把 RTP 貢獻 = 2×p³×m</t>
        </is>
      </c>
      <c r="I4" s="2" t="inlineStr">
        <is>
          <t>精確分數(權威值)</t>
        </is>
      </c>
    </row>
    <row r="5">
      <c r="A5" s="3" t="inlineStr">
        <is>
          <t>Cherry</t>
        </is>
      </c>
      <c r="B5" s="4" t="inlineStr">
        <is>
          <t>🍒</t>
        </is>
      </c>
      <c r="C5" s="3" t="n">
        <v>8</v>
      </c>
      <c r="D5" s="5">
        <f>C5/$C$10</f>
        <v/>
      </c>
      <c r="E5" s="5">
        <f>D5^3</f>
        <v/>
      </c>
      <c r="F5" s="3" t="n">
        <v>3</v>
      </c>
      <c r="G5" s="5">
        <f>E5*F5</f>
        <v/>
      </c>
      <c r="H5" s="5">
        <f>2*G5</f>
        <v/>
      </c>
      <c r="I5" s="3" t="inlineStr">
        <is>
          <t>p³=8/125,整把貢獻 48/125</t>
        </is>
      </c>
    </row>
    <row r="6">
      <c r="A6" s="3" t="inlineStr">
        <is>
          <t>Lemon</t>
        </is>
      </c>
      <c r="B6" s="4" t="inlineStr">
        <is>
          <t>🍋</t>
        </is>
      </c>
      <c r="C6" s="3" t="n">
        <v>6</v>
      </c>
      <c r="D6" s="5">
        <f>C6/$C$10</f>
        <v/>
      </c>
      <c r="E6" s="5">
        <f>D6^3</f>
        <v/>
      </c>
      <c r="F6" s="3" t="n">
        <v>6</v>
      </c>
      <c r="G6" s="5">
        <f>E6*F6</f>
        <v/>
      </c>
      <c r="H6" s="5">
        <f>2*G6</f>
        <v/>
      </c>
      <c r="I6" s="3" t="inlineStr">
        <is>
          <t>p³=27/1000,整把貢獻 81/250</t>
        </is>
      </c>
    </row>
    <row r="7">
      <c r="A7" s="3" t="inlineStr">
        <is>
          <t>Bell</t>
        </is>
      </c>
      <c r="B7" s="4" t="inlineStr">
        <is>
          <t>🔔</t>
        </is>
      </c>
      <c r="C7" s="3" t="n">
        <v>3</v>
      </c>
      <c r="D7" s="5">
        <f>C7/$C$10</f>
        <v/>
      </c>
      <c r="E7" s="5">
        <f>D7^3</f>
        <v/>
      </c>
      <c r="F7" s="3" t="n">
        <v>12</v>
      </c>
      <c r="G7" s="5">
        <f>E7*F7</f>
        <v/>
      </c>
      <c r="H7" s="5">
        <f>2*G7</f>
        <v/>
      </c>
      <c r="I7" s="3" t="inlineStr">
        <is>
          <t>p³=27/8000,整把貢獻 81/1000</t>
        </is>
      </c>
    </row>
    <row r="8">
      <c r="A8" s="3" t="inlineStr">
        <is>
          <t>Star</t>
        </is>
      </c>
      <c r="B8" s="4" t="inlineStr">
        <is>
          <t>⭐</t>
        </is>
      </c>
      <c r="C8" s="3" t="n">
        <v>2</v>
      </c>
      <c r="D8" s="5">
        <f>C8/$C$10</f>
        <v/>
      </c>
      <c r="E8" s="5">
        <f>D8^3</f>
        <v/>
      </c>
      <c r="F8" s="3" t="n">
        <v>40</v>
      </c>
      <c r="G8" s="5">
        <f>E8*F8</f>
        <v/>
      </c>
      <c r="H8" s="5">
        <f>2*G8</f>
        <v/>
      </c>
      <c r="I8" s="3" t="inlineStr">
        <is>
          <t>p³=1/1000,整把貢獻 2/25</t>
        </is>
      </c>
    </row>
    <row r="9">
      <c r="A9" s="3" t="inlineStr">
        <is>
          <t>Seven</t>
        </is>
      </c>
      <c r="B9" s="4" t="inlineStr">
        <is>
          <t>7️⃣</t>
        </is>
      </c>
      <c r="C9" s="3" t="n">
        <v>1</v>
      </c>
      <c r="D9" s="5">
        <f>C9/$C$10</f>
        <v/>
      </c>
      <c r="E9" s="5">
        <f>D9^3</f>
        <v/>
      </c>
      <c r="F9" s="3" t="n">
        <v>484</v>
      </c>
      <c r="G9" s="5">
        <f>E9*F9</f>
        <v/>
      </c>
      <c r="H9" s="5">
        <f>2*G9</f>
        <v/>
      </c>
      <c r="I9" s="3" t="inlineStr">
        <is>
          <t>p³=1/8000,整把貢獻 121/1000</t>
        </is>
      </c>
    </row>
    <row r="10">
      <c r="A10" s="6" t="inlineStr">
        <is>
          <t>TOTAL</t>
        </is>
      </c>
      <c r="B10" s="6" t="n"/>
      <c r="C10" s="6">
        <f>SUM(C5:C9)</f>
        <v/>
      </c>
      <c r="D10" s="7" t="n"/>
      <c r="E10" s="7">
        <f>SUM(E5:E9)</f>
        <v/>
      </c>
      <c r="F10" s="6" t="n"/>
      <c r="G10" s="7">
        <f>SUM(G5:G9)</f>
        <v/>
      </c>
      <c r="H10" s="7">
        <f>SUM(H5:H9)</f>
        <v/>
      </c>
      <c r="I10" s="6" t="inlineStr">
        <is>
          <t>hit/線=191/2000;RTP/線=99/200;整把 RTP=99/100</t>
        </is>
      </c>
    </row>
    <row r="12">
      <c r="A12" s="8" t="inlineStr">
        <is>
          <t>彙總指標</t>
        </is>
      </c>
    </row>
    <row r="13">
      <c r="A13" s="9" t="inlineStr">
        <is>
          <t>整把 RTP</t>
        </is>
      </c>
      <c r="C13" s="10">
        <f>H10</f>
        <v/>
      </c>
      <c r="D13" t="inlineStr">
        <is>
          <t>精確 = 99/100 = 0.99</t>
        </is>
      </c>
    </row>
    <row r="14">
      <c r="A14" s="9" t="inlineStr">
        <is>
          <t>單線 hit frequency</t>
        </is>
      </c>
      <c r="C14" s="10">
        <f>E10</f>
        <v/>
      </c>
      <c r="D14" t="inlineStr">
        <is>
          <t>精確 = 191/2000 = 0.0955</t>
        </is>
      </c>
    </row>
    <row r="15">
      <c r="A15" s="9" t="inlineStr">
        <is>
          <t>整把 hit frequency(至少一線中獎)</t>
        </is>
      </c>
      <c r="C15" s="10">
        <f>1-(1-E10)^2</f>
        <v/>
      </c>
      <c r="D15" t="inlineStr">
        <is>
          <t>精確 = 727519/4000000 = 0.18187975</t>
        </is>
      </c>
    </row>
    <row r="16">
      <c r="A16" s="9" t="inlineStr">
        <is>
          <t>莊家優勢</t>
        </is>
      </c>
      <c r="C16" s="10">
        <f>1-H10</f>
        <v/>
      </c>
      <c r="D16" t="inlineStr">
        <is>
          <t>精確 = 1/100 = 0.01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參數總覽</t>
        </is>
      </c>
    </row>
    <row r="3">
      <c r="A3" s="9" t="inlineStr">
        <is>
          <t>遊戲名稱</t>
        </is>
      </c>
      <c r="B3" t="inlineStr">
        <is>
          <t>Lucky Double(2×3 雙線拉霸機)</t>
        </is>
      </c>
    </row>
    <row r="4">
      <c r="A4" s="9" t="inlineStr">
        <is>
          <t>盤面</t>
        </is>
      </c>
      <c r="B4" t="inlineStr">
        <is>
          <t>2 列 × 3 輪;每格獨立依權重抽取</t>
        </is>
      </c>
    </row>
    <row r="5">
      <c r="A5" s="9" t="inlineStr">
        <is>
          <t>賠付線</t>
        </is>
      </c>
      <c r="B5" t="inlineStr">
        <is>
          <t>2 條水平線(上排、下排),分別判定 3-of-a-kind</t>
        </is>
      </c>
    </row>
    <row r="6">
      <c r="A6" s="9" t="inlineStr">
        <is>
          <t>下注</t>
        </is>
      </c>
      <c r="B6" t="inlineStr">
        <is>
          <t>bet 為整把注金,涵蓋兩條線</t>
        </is>
      </c>
    </row>
    <row r="7">
      <c r="A7" s="9" t="inlineStr">
        <is>
          <t>派彩</t>
        </is>
      </c>
      <c r="B7" t="inlineStr">
        <is>
          <t>整把派彩 = Σ(中獎線倍率) × bet;結算 balance += payout − bet</t>
        </is>
      </c>
    </row>
    <row r="8">
      <c r="A8" s="9" t="inlineStr">
        <is>
          <t>總權重</t>
        </is>
      </c>
      <c r="B8" t="n">
        <v>20</v>
      </c>
    </row>
    <row r="9">
      <c r="A9" s="9" t="inlineStr">
        <is>
          <t>目標 RTP(精確)</t>
        </is>
      </c>
      <c r="B9" t="inlineStr">
        <is>
          <t>99/100</t>
        </is>
      </c>
    </row>
    <row r="10">
      <c r="A10" s="9" t="inlineStr">
        <is>
          <t>目標 RTP(小數)</t>
        </is>
      </c>
      <c r="B10" t="n">
        <v>0.99</v>
      </c>
    </row>
    <row r="11">
      <c r="A11" s="9" t="inlineStr">
        <is>
          <t>驗收容差(Monte-Carlo)</t>
        </is>
      </c>
      <c r="B11" t="inlineStr">
        <is>
          <t>模擬 RTP 與理論值差距 ≤ 0.005(一千萬次、固定 seed)</t>
        </is>
      </c>
    </row>
    <row r="12">
      <c r="A12" s="9" t="inlineStr">
        <is>
          <t>權威來源</t>
        </is>
      </c>
      <c r="B12" t="inlineStr">
        <is>
          <t>解析式有理數計算(big.Rat);模擬僅作 sanity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2026-06-11T08:48:31Z</dcterms:created>
  <dcterms:modified xsi:type="dcterms:W3CDTF">2026-06-11T08:48:31Z</dcterms:modified>
</cp:coreProperties>
</file>